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<sst xmlns="http://schemas.openxmlformats.org/spreadsheetml/2006/main" count="87" uniqueCount="71">
  <si>
    <t>Item #</t>
  </si>
  <si>
    <t>Category</t>
  </si>
  <si>
    <t>Usage</t>
  </si>
  <si>
    <t>Part Name</t>
  </si>
  <si>
    <t>Stock</t>
  </si>
  <si>
    <t>Qty</t>
  </si>
  <si>
    <t>Unit Cost</t>
  </si>
  <si>
    <t>Total Cost</t>
  </si>
  <si>
    <t>Where</t>
  </si>
  <si>
    <t>Comments</t>
  </si>
  <si>
    <t>Link</t>
  </si>
  <si>
    <t>Optocoupler</t>
  </si>
  <si>
    <t>Relay switching</t>
  </si>
  <si>
    <t>LTV-817C</t>
  </si>
  <si>
    <t>Mouser</t>
  </si>
  <si>
    <t>https://www.mouser.com/ProductDetail/LITEON/LTV-817C?qs=WAWaI72GHKzVL8VAYU18sA%3D%3D&amp;srsltid=AfmBOoqRhUQBqnD8H-F-fnES0jz1kSzqsItCJLDIFPhAv3R_OLZdVz-C</t>
  </si>
  <si>
    <t>Slide Switch</t>
  </si>
  <si>
    <t>Manual relay control</t>
  </si>
  <si>
    <t>js102011cqn</t>
  </si>
  <si>
    <t>https://www.mouser.com/ProductDetail/CK/js102011cqn?qs=j%252B1pi9TdxUaTejr8RwGFYA%3D%3D&amp;srsltid=AfmBOopQHmlYqoIyZ-DJ8oOcNvMMQYiCrtZ59tWzj3V80k8IixugsCUk</t>
  </si>
  <si>
    <t>LEDG</t>
  </si>
  <si>
    <t>Relay ON/OFF indicator</t>
  </si>
  <si>
    <t>SML-D12M8WT86</t>
  </si>
  <si>
    <t>https://www.mouser.com/ProductDetail/ROHM-Semiconductor/SML-D12M8WT86?qs=4kLU8WoGk0vGWtDreJ93zQ%3D%3D&amp;srsltid=AfmBOopKf0bzfPZjKoiWqQxdRWQCYlaPBkUYuM00LEvwoaT6056lBr8l</t>
  </si>
  <si>
    <t>NMOS</t>
  </si>
  <si>
    <t>MCU Input Driver</t>
  </si>
  <si>
    <t>2N7000</t>
  </si>
  <si>
    <t>DigiKey</t>
  </si>
  <si>
    <t>https://www.digikey.com/en/products/detail/onsemi/2N7000/244278</t>
  </si>
  <si>
    <t>Diode</t>
  </si>
  <si>
    <t>Flyback Diode</t>
  </si>
  <si>
    <t>1N4007</t>
  </si>
  <si>
    <t>https://www.digikey.com/en/products/detail/diotec-semiconductor/1N4007/18833652</t>
  </si>
  <si>
    <t>BJT</t>
  </si>
  <si>
    <t>Relay BJT</t>
  </si>
  <si>
    <t>BC337-25</t>
  </si>
  <si>
    <t>https://www.digikey.com/en/products/detail/diotec-semiconductor/BC337-25/13164719</t>
  </si>
  <si>
    <t>Relay</t>
  </si>
  <si>
    <t>G5Q-1A-DC12</t>
  </si>
  <si>
    <t>https://www.mouser.com/ProductDetail/Omron-Electronics/G5Q-1A-DC12?qs=nNiD76Ca0%252Bt4ZP93oe2MyA%3D%3D&amp;srsltid=AfmBOopJJbb029pr-3XQZFCwQl1u7wq2rLvA4L54DUFuBSGrco3OBnPq</t>
  </si>
  <si>
    <t>Switch</t>
  </si>
  <si>
    <t>12V Master Switch</t>
  </si>
  <si>
    <t>100SP1T1B4M2QE</t>
  </si>
  <si>
    <t>Kinda big? not sure</t>
  </si>
  <si>
    <t>https://www.mouser.com/ProductDetail/E-Switch/100SP1T1B4M2QE?qs=YXf4ACKMM4xJ0mJK%2FyIa1g%3D%3D&amp;srsltid=AfmBOopQB-AdShQqsTMIpaihnFlglcelSB1Rqv1lrsuXRc9LbFRXe7iC</t>
  </si>
  <si>
    <t>Linear Voltage Regulator</t>
  </si>
  <si>
    <t>12V -&gt; 3.3V</t>
  </si>
  <si>
    <t>TLV76133DCYR</t>
  </si>
  <si>
    <t>https://www.mouser.com/ProductDetail/Texas-Instruments/TLV76133DCYR?qs=9vOqFld9vZV5BPjUhjTZUA%3D%3D&amp;utm_id=22925945000&amp;utm_source=google&amp;utm_medium=cpc&amp;utm_marketing_tactic=amercorp&amp;gad_source=1&amp;gad_campaignid=23872695562&amp;gbraid=0AAAAADn_wf1QouUvUyidxAb80B7vJhlGY&amp;gclid=EAIaIQobChMI1b2E2e7_lAMV_83CBB2T6hF_EAAYASAAEgLm6fD_BwE</t>
  </si>
  <si>
    <t>MCU</t>
  </si>
  <si>
    <t>Main MCU Logic</t>
  </si>
  <si>
    <t>STM32F103C8T6 Blue Pill</t>
  </si>
  <si>
    <t>Amazon</t>
  </si>
  <si>
    <t>https://www.amazon.com/initeq-STM32F103C8T6-Minimum-Development-Programmer/dp/B079B95L9Y?th=1</t>
  </si>
  <si>
    <t>Resistor</t>
  </si>
  <si>
    <t>430 ohms</t>
  </si>
  <si>
    <t>ERA-2ARB431X</t>
  </si>
  <si>
    <t>https://www.mouser.com/ProductDetail/Panasonic/ERA-2ARB431X?qs=sGAEpiMZZMtlubZbdhIBIAJzGQ31d3NR3evwH1klWzI%3D</t>
  </si>
  <si>
    <t>1.8k ohms</t>
  </si>
  <si>
    <t>ERA-6AED182V</t>
  </si>
  <si>
    <t>https://www.mouser.com/ProductDetail/Panasonic/ERA-6AED182V?qs=sGAEpiMZZMtlubZbdhIBINE5Vwz7C5t%2FOQPfWpHRNUY%3D</t>
  </si>
  <si>
    <t>Capacitor</t>
  </si>
  <si>
    <t>0.1uF</t>
  </si>
  <si>
    <t>CL05B104KBD6PJC</t>
  </si>
  <si>
    <t>https://www.mouser.com/ProductDetail/Samsung-Electro-Mechanics/CL05B104KBD6PJC?qs=sGAEpiMZZMsh%252B1woXyUXj%2Fmb4TiHnO1rFKeWMvaPPL8%3D</t>
  </si>
  <si>
    <t>1uF</t>
  </si>
  <si>
    <t>AMK063AC6105MP-F</t>
  </si>
  <si>
    <t>https://www.mouser.com/ProductDetail/TAIYO-YUDEN/AMK063AC6105MP-F?qs=sGAEpiMZZMsh%252B1woXyUXj3HATp5z5h9Ls%2FM2CHI7l3I%3D</t>
  </si>
  <si>
    <t>2.2uF</t>
  </si>
  <si>
    <t>ZRB157R6YA225KE11D</t>
  </si>
  <si>
    <t>https://www.mouser.com/ProductDetail/Murata-Electronics/ZRB157R6YA225KE11D?qs=sGAEpiMZZMsh%252B1woXyUXj%2Fze%252BJJ8bUKCMjpJq3Hfpgk%3D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</si>
</sst>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u/>
      <color rgb="FF000000"/>
    </font>
    <font>
      <u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ouser.com/ProductDetail/Panasonic/ERA-2ARB431X?qs=sGAEpiMZZMtlubZbdhIBIAJzGQ31d3NR3evwH1klWzI%3D" TargetMode="External"/><Relationship Id="rId10" Type="http://schemas.openxmlformats.org/officeDocument/2006/relationships/hyperlink" Target="https://www.amazon.com/initeq-STM32F103C8T6-Minimum-Development-Programmer/dp/B079B95L9Y?th=1" TargetMode="External"/><Relationship Id="rId13" Type="http://schemas.openxmlformats.org/officeDocument/2006/relationships/hyperlink" Target="https://www.mouser.com/ProductDetail/Samsung-Electro-Mechanics/CL05B104KBD6PJC?qs=sGAEpiMZZMsh%252B1woXyUXj%2Fmb4TiHnO1rFKeWMvaPPL8%3D" TargetMode="External"/><Relationship Id="rId12" Type="http://schemas.openxmlformats.org/officeDocument/2006/relationships/hyperlink" Target="https://www.mouser.com/ProductDetail/Panasonic/ERA-6AED182V?qs=sGAEpiMZZMtlubZbdhIBINE5Vwz7C5t%2FOQPfWpHRNUY%3D" TargetMode="External"/><Relationship Id="rId1" Type="http://schemas.openxmlformats.org/officeDocument/2006/relationships/hyperlink" Target="https://www.mouser.com/ProductDetail/LITEON/LTV-817C?qs=WAWaI72GHKzVL8VAYU18sA%3D%3D&amp;srsltid=AfmBOoqRhUQBqnD8H-F-fnES0jz1kSzqsItCJLDIFPhAv3R_OLZdVz-C" TargetMode="External"/><Relationship Id="rId2" Type="http://schemas.openxmlformats.org/officeDocument/2006/relationships/hyperlink" Target="https://www.mouser.com/ProductDetail/CK/js102011cqn?qs=j%252B1pi9TdxUaTejr8RwGFYA%3D%3D&amp;srsltid=AfmBOopQHmlYqoIyZ-DJ8oOcNvMMQYiCrtZ59tWzj3V80k8IixugsCUk" TargetMode="External"/><Relationship Id="rId3" Type="http://schemas.openxmlformats.org/officeDocument/2006/relationships/hyperlink" Target="https://www.mouser.com/ProductDetail/ROHM-Semiconductor/SML-D12M8WT86?qs=4kLU8WoGk0vGWtDreJ93zQ%3D%3D&amp;srsltid=AfmBOopKf0bzfPZjKoiWqQxdRWQCYlaPBkUYuM00LEvwoaT6056lBr8l" TargetMode="External"/><Relationship Id="rId4" Type="http://schemas.openxmlformats.org/officeDocument/2006/relationships/hyperlink" Target="https://www.digikey.com/en/products/detail/onsemi/2N7000/244278" TargetMode="External"/><Relationship Id="rId9" Type="http://schemas.openxmlformats.org/officeDocument/2006/relationships/hyperlink" Target="https://www.mouser.com/ProductDetail/Texas-Instruments/TLV76133DCYR?qs=9vOqFld9vZV5BPjUhjTZUA%3D%3D&amp;utm_id=22925945000&amp;utm_source=google&amp;utm_medium=cpc&amp;utm_marketing_tactic=amercorp&amp;gad_source=1&amp;gad_campaignid=23872695562&amp;gbraid=0AAAAADn_wf1QouUvUyidxAb80B7vJhlGY&amp;gclid=EAIaIQobChMI1b2E2e7_lAMV_83CBB2T6hF_EAAYASAAEgLm6fD_BwE" TargetMode="External"/><Relationship Id="rId15" Type="http://schemas.openxmlformats.org/officeDocument/2006/relationships/hyperlink" Target="https://www.mouser.com/ProductDetail/Murata-Electronics/ZRB157R6YA225KE11D?qs=sGAEpiMZZMsh%252B1woXyUXj%2Fze%252BJJ8bUKCMjpJq3Hfpgk%3D" TargetMode="External"/><Relationship Id="rId14" Type="http://schemas.openxmlformats.org/officeDocument/2006/relationships/hyperlink" Target="https://www.mouser.com/ProductDetail/TAIYO-YUDEN/AMK063AC6105MP-F?qs=sGAEpiMZZMsh%252B1woXyUXj3HATp5z5h9Ls%2FM2CHI7l3I%3D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digikey.com/en/products/detail/diotec-semiconductor/1N4007/18833652" TargetMode="External"/><Relationship Id="rId6" Type="http://schemas.openxmlformats.org/officeDocument/2006/relationships/hyperlink" Target="https://www.digikey.com/en/products/detail/diotec-semiconductor/BC337-25/13164719" TargetMode="External"/><Relationship Id="rId7" Type="http://schemas.openxmlformats.org/officeDocument/2006/relationships/hyperlink" Target="https://www.mouser.com/ProductDetail/Omron-Electronics/G5Q-1A-DC12?qs=nNiD76Ca0%252Bt4ZP93oe2MyA%3D%3D&amp;srsltid=AfmBOopJJbb029pr-3XQZFCwQl1u7wq2rLvA4L54DUFuBSGrco3OBnPq" TargetMode="External"/><Relationship Id="rId8" Type="http://schemas.openxmlformats.org/officeDocument/2006/relationships/hyperlink" Target="https://www.mouser.com/ProductDetail/E-Switch/100SP1T1B4M2QE?qs=YXf4ACKMM4xJ0mJK%2FyIa1g%3D%3D&amp;srsltid=AfmBOopQB-AdShQqsTMIpaihnFlglcelSB1Rqv1lrsuXRc9LbFRXe7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9.38"/>
    <col customWidth="1" min="3" max="3" width="18.75"/>
    <col customWidth="1" min="4" max="4" width="20.75"/>
    <col customWidth="1" min="5" max="5" width="10.5"/>
    <col customWidth="1" min="6" max="6" width="7.63"/>
    <col customWidth="1" min="7" max="7" width="11.25"/>
    <col customWidth="1" min="9" max="9" width="11.25"/>
    <col customWidth="1" min="10" max="10" width="44.75"/>
    <col customWidth="1" min="11" max="11" width="29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2" t="s">
        <v>11</v>
      </c>
      <c r="C2" s="2" t="s">
        <v>12</v>
      </c>
      <c r="D2" s="2" t="s">
        <v>13</v>
      </c>
      <c r="E2" s="2">
        <v>1756.0</v>
      </c>
      <c r="F2" s="2">
        <v>16.0</v>
      </c>
      <c r="G2" s="3">
        <v>0.4</v>
      </c>
      <c r="H2" s="3">
        <f t="shared" ref="H2:H16" si="1">F2*G2</f>
        <v>6.4</v>
      </c>
      <c r="I2" s="2" t="s">
        <v>14</v>
      </c>
      <c r="J2" s="4"/>
      <c r="K2" s="5" t="s">
        <v>15</v>
      </c>
    </row>
    <row r="3">
      <c r="A3" s="1">
        <v>2.0</v>
      </c>
      <c r="B3" s="2" t="s">
        <v>16</v>
      </c>
      <c r="C3" s="2" t="s">
        <v>17</v>
      </c>
      <c r="D3" s="2" t="s">
        <v>18</v>
      </c>
      <c r="E3" s="2">
        <v>1756.0</v>
      </c>
      <c r="F3" s="2">
        <v>16.0</v>
      </c>
      <c r="G3" s="3">
        <v>0.91</v>
      </c>
      <c r="H3" s="3">
        <f t="shared" si="1"/>
        <v>14.56</v>
      </c>
      <c r="I3" s="2" t="s">
        <v>14</v>
      </c>
      <c r="J3" s="4"/>
      <c r="K3" s="5" t="s">
        <v>19</v>
      </c>
    </row>
    <row r="4">
      <c r="A4" s="1">
        <v>3.0</v>
      </c>
      <c r="B4" s="2" t="s">
        <v>20</v>
      </c>
      <c r="C4" s="2" t="s">
        <v>21</v>
      </c>
      <c r="D4" s="2" t="s">
        <v>22</v>
      </c>
      <c r="E4" s="2">
        <v>66223.0</v>
      </c>
      <c r="F4" s="2">
        <v>16.0</v>
      </c>
      <c r="G4" s="3">
        <v>0.17</v>
      </c>
      <c r="H4" s="3">
        <f t="shared" si="1"/>
        <v>2.72</v>
      </c>
      <c r="I4" s="2" t="s">
        <v>14</v>
      </c>
      <c r="J4" s="4"/>
      <c r="K4" s="5" t="s">
        <v>23</v>
      </c>
    </row>
    <row r="5">
      <c r="A5" s="1">
        <v>4.0</v>
      </c>
      <c r="B5" s="2" t="s">
        <v>24</v>
      </c>
      <c r="C5" s="2" t="s">
        <v>25</v>
      </c>
      <c r="D5" s="2" t="s">
        <v>26</v>
      </c>
      <c r="E5" s="2">
        <v>45978.0</v>
      </c>
      <c r="F5" s="2">
        <v>16.0</v>
      </c>
      <c r="G5" s="3">
        <v>0.65</v>
      </c>
      <c r="H5" s="3">
        <f t="shared" si="1"/>
        <v>10.4</v>
      </c>
      <c r="I5" s="2" t="s">
        <v>27</v>
      </c>
      <c r="J5" s="4"/>
      <c r="K5" s="6" t="s">
        <v>28</v>
      </c>
    </row>
    <row r="6">
      <c r="A6" s="1">
        <v>5.0</v>
      </c>
      <c r="B6" s="2" t="s">
        <v>29</v>
      </c>
      <c r="C6" s="2" t="s">
        <v>30</v>
      </c>
      <c r="D6" s="2" t="s">
        <v>31</v>
      </c>
      <c r="E6" s="2">
        <v>387509.0</v>
      </c>
      <c r="F6" s="2">
        <v>16.0</v>
      </c>
      <c r="G6" s="3">
        <v>0.14</v>
      </c>
      <c r="H6" s="3">
        <f t="shared" si="1"/>
        <v>2.24</v>
      </c>
      <c r="I6" s="2" t="s">
        <v>27</v>
      </c>
      <c r="J6" s="4"/>
      <c r="K6" s="6" t="s">
        <v>32</v>
      </c>
    </row>
    <row r="7">
      <c r="A7" s="1">
        <v>6.0</v>
      </c>
      <c r="B7" s="2" t="s">
        <v>33</v>
      </c>
      <c r="C7" s="2" t="s">
        <v>34</v>
      </c>
      <c r="D7" s="2" t="s">
        <v>35</v>
      </c>
      <c r="E7" s="2">
        <v>16546.0</v>
      </c>
      <c r="F7" s="2">
        <v>16.0</v>
      </c>
      <c r="G7" s="3">
        <v>0.18</v>
      </c>
      <c r="H7" s="3">
        <f t="shared" si="1"/>
        <v>2.88</v>
      </c>
      <c r="I7" s="2" t="s">
        <v>27</v>
      </c>
      <c r="J7" s="4"/>
      <c r="K7" s="6" t="s">
        <v>36</v>
      </c>
    </row>
    <row r="8">
      <c r="A8" s="1">
        <v>7.0</v>
      </c>
      <c r="B8" s="2" t="s">
        <v>37</v>
      </c>
      <c r="C8" s="2" t="s">
        <v>37</v>
      </c>
      <c r="D8" s="2" t="s">
        <v>38</v>
      </c>
      <c r="E8" s="2">
        <v>2201.0</v>
      </c>
      <c r="F8" s="2">
        <v>16.0</v>
      </c>
      <c r="G8" s="3">
        <v>1.76</v>
      </c>
      <c r="H8" s="3">
        <f t="shared" si="1"/>
        <v>28.16</v>
      </c>
      <c r="I8" s="2" t="s">
        <v>14</v>
      </c>
      <c r="J8" s="2"/>
      <c r="K8" s="6" t="s">
        <v>39</v>
      </c>
    </row>
    <row r="9">
      <c r="A9" s="1">
        <v>8.0</v>
      </c>
      <c r="B9" s="2" t="s">
        <v>40</v>
      </c>
      <c r="C9" s="2" t="s">
        <v>41</v>
      </c>
      <c r="D9" s="2" t="s">
        <v>42</v>
      </c>
      <c r="E9" s="2">
        <v>220.0</v>
      </c>
      <c r="F9" s="2">
        <v>1.0</v>
      </c>
      <c r="G9" s="3">
        <v>2.93</v>
      </c>
      <c r="H9" s="3">
        <f t="shared" si="1"/>
        <v>2.93</v>
      </c>
      <c r="I9" s="2" t="s">
        <v>14</v>
      </c>
      <c r="J9" s="2" t="s">
        <v>43</v>
      </c>
      <c r="K9" s="5" t="s">
        <v>44</v>
      </c>
    </row>
    <row r="10">
      <c r="A10" s="1">
        <v>9.0</v>
      </c>
      <c r="B10" s="2" t="s">
        <v>45</v>
      </c>
      <c r="C10" s="2" t="s">
        <v>46</v>
      </c>
      <c r="D10" s="2" t="s">
        <v>47</v>
      </c>
      <c r="E10" s="2">
        <v>4353.0</v>
      </c>
      <c r="F10" s="2">
        <v>1.0</v>
      </c>
      <c r="G10" s="3">
        <v>0.53</v>
      </c>
      <c r="H10" s="3">
        <f t="shared" si="1"/>
        <v>0.53</v>
      </c>
      <c r="I10" s="2" t="s">
        <v>14</v>
      </c>
      <c r="J10" s="4"/>
      <c r="K10" s="6" t="s">
        <v>48</v>
      </c>
    </row>
    <row r="11">
      <c r="A11" s="1">
        <v>10.0</v>
      </c>
      <c r="B11" s="2" t="s">
        <v>49</v>
      </c>
      <c r="C11" s="2" t="s">
        <v>50</v>
      </c>
      <c r="D11" s="2" t="s">
        <v>51</v>
      </c>
      <c r="E11" s="4"/>
      <c r="F11" s="2">
        <v>1.0</v>
      </c>
      <c r="G11" s="3">
        <v>37.99</v>
      </c>
      <c r="H11" s="3">
        <f t="shared" si="1"/>
        <v>37.99</v>
      </c>
      <c r="I11" s="2" t="s">
        <v>52</v>
      </c>
      <c r="J11" s="4"/>
      <c r="K11" s="5" t="s">
        <v>53</v>
      </c>
    </row>
    <row r="12">
      <c r="A12" s="1">
        <v>11.0</v>
      </c>
      <c r="B12" s="2" t="s">
        <v>54</v>
      </c>
      <c r="C12" s="2" t="s">
        <v>55</v>
      </c>
      <c r="D12" s="2" t="s">
        <v>56</v>
      </c>
      <c r="E12" s="2">
        <v>9652.0</v>
      </c>
      <c r="F12" s="2">
        <v>16.0</v>
      </c>
      <c r="G12" s="3">
        <v>0.53</v>
      </c>
      <c r="H12" s="3">
        <f t="shared" si="1"/>
        <v>8.48</v>
      </c>
      <c r="I12" s="2" t="s">
        <v>14</v>
      </c>
      <c r="J12" s="4"/>
      <c r="K12" s="6" t="s">
        <v>57</v>
      </c>
    </row>
    <row r="13">
      <c r="A13" s="1">
        <v>12.0</v>
      </c>
      <c r="B13" s="2" t="s">
        <v>54</v>
      </c>
      <c r="C13" s="2" t="s">
        <v>58</v>
      </c>
      <c r="D13" s="2" t="s">
        <v>59</v>
      </c>
      <c r="E13" s="2">
        <v>65824.0</v>
      </c>
      <c r="F13" s="2">
        <v>16.0</v>
      </c>
      <c r="G13" s="3">
        <v>0.28</v>
      </c>
      <c r="H13" s="3">
        <f t="shared" si="1"/>
        <v>4.48</v>
      </c>
      <c r="I13" s="2" t="s">
        <v>14</v>
      </c>
      <c r="J13" s="4"/>
      <c r="K13" s="6" t="s">
        <v>60</v>
      </c>
    </row>
    <row r="14">
      <c r="A14" s="1">
        <v>13.0</v>
      </c>
      <c r="B14" s="2" t="s">
        <v>61</v>
      </c>
      <c r="C14" s="2" t="s">
        <v>62</v>
      </c>
      <c r="D14" s="2" t="s">
        <v>63</v>
      </c>
      <c r="E14" s="2">
        <v>88313.0</v>
      </c>
      <c r="F14" s="2">
        <v>4.0</v>
      </c>
      <c r="G14" s="3">
        <v>0.26</v>
      </c>
      <c r="H14" s="3">
        <f t="shared" si="1"/>
        <v>1.04</v>
      </c>
      <c r="I14" s="2" t="s">
        <v>14</v>
      </c>
      <c r="J14" s="4"/>
      <c r="K14" s="6" t="s">
        <v>64</v>
      </c>
    </row>
    <row r="15">
      <c r="A15" s="1">
        <v>14.0</v>
      </c>
      <c r="B15" s="2" t="s">
        <v>61</v>
      </c>
      <c r="C15" s="2" t="s">
        <v>65</v>
      </c>
      <c r="D15" s="2" t="s">
        <v>66</v>
      </c>
      <c r="E15" s="2">
        <v>1047442.0</v>
      </c>
      <c r="F15" s="2">
        <v>1.0</v>
      </c>
      <c r="G15" s="3">
        <v>0.13</v>
      </c>
      <c r="H15" s="3">
        <f t="shared" si="1"/>
        <v>0.13</v>
      </c>
      <c r="I15" s="2" t="s">
        <v>14</v>
      </c>
      <c r="J15" s="4"/>
      <c r="K15" s="5" t="s">
        <v>67</v>
      </c>
    </row>
    <row r="16">
      <c r="A16" s="1">
        <v>15.0</v>
      </c>
      <c r="B16" s="2" t="s">
        <v>61</v>
      </c>
      <c r="C16" s="2" t="s">
        <v>68</v>
      </c>
      <c r="D16" s="2" t="s">
        <v>69</v>
      </c>
      <c r="E16" s="2">
        <v>23623.0</v>
      </c>
      <c r="F16" s="2">
        <v>1.0</v>
      </c>
      <c r="G16" s="3">
        <v>0.32</v>
      </c>
      <c r="H16" s="3">
        <f t="shared" si="1"/>
        <v>0.32</v>
      </c>
      <c r="I16" s="2" t="s">
        <v>14</v>
      </c>
      <c r="J16" s="4"/>
      <c r="K16" s="5" t="s">
        <v>70</v>
      </c>
    </row>
    <row r="17">
      <c r="A17" s="4"/>
      <c r="B17" s="4"/>
      <c r="C17" s="4"/>
      <c r="D17" s="4"/>
      <c r="E17" s="4"/>
      <c r="F17" s="4"/>
      <c r="G17" s="4"/>
      <c r="H17" s="7">
        <f>SUM(H2:H16)</f>
        <v>123.26</v>
      </c>
      <c r="I17" s="4"/>
      <c r="J17" s="4"/>
      <c r="K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>
      <c r="A19" s="4"/>
      <c r="B19" s="4"/>
      <c r="C19" s="4"/>
      <c r="D19" s="4"/>
      <c r="E19" s="4"/>
      <c r="F19" s="4"/>
      <c r="G19" s="4"/>
      <c r="H19" s="4"/>
      <c r="I19" s="4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</hyperlinks>
  <drawing r:id="rId16"/>
</worksheet>
</file>